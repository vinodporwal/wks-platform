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Yash4.Mehta\OneDrive - Reliance Corporate IT Park Limited\Desktop\"/>
    </mc:Choice>
  </mc:AlternateContent>
  <xr:revisionPtr revIDLastSave="24" documentId="11_F25DC773A252ABDACC1048BA915C43365ADE58E8" xr6:coauthVersionLast="36" xr6:coauthVersionMax="36" xr10:uidLastSave="{889CD4A8-8930-497F-BC61-02B502ED282E}"/>
  <bookViews>
    <workbookView xWindow="0" yWindow="0" windowWidth="22260" windowHeight="12650" xr2:uid="{00000000-000D-0000-FFFF-FFFF00000000}"/>
  </bookViews>
  <sheets>
    <sheet name="Scenarios" sheetId="2" r:id="rId1"/>
    <sheet name="Sheet1" sheetId="1" state="hidden" r:id="rId2"/>
  </sheets>
  <definedNames>
    <definedName name="_xlnm.Print_Area" localSheetId="0">Scenarios!$A$1:$H$85</definedName>
  </definedNames>
  <calcPr calcId="191029" iterate="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9" i="2" l="1"/>
  <c r="G69" i="2" l="1"/>
  <c r="D69" i="2"/>
  <c r="D19" i="2"/>
  <c r="G43" i="2"/>
  <c r="D43" i="2"/>
  <c r="G17" i="2"/>
  <c r="G19" i="2" s="1"/>
  <c r="G84" i="2"/>
  <c r="G77" i="2"/>
  <c r="D25" i="2" l="1"/>
  <c r="D77" i="2"/>
  <c r="D84" i="2"/>
  <c r="D58" i="2"/>
  <c r="G58" i="2"/>
  <c r="G51" i="2"/>
  <c r="G33" i="2"/>
  <c r="D33" i="2"/>
  <c r="G26" i="2"/>
  <c r="G21" i="1"/>
  <c r="D21" i="1"/>
  <c r="D19" i="1"/>
  <c r="D20" i="1"/>
  <c r="G30" i="1"/>
  <c r="D30" i="1"/>
  <c r="D51" i="2" l="1"/>
  <c r="D26" i="2"/>
  <c r="G12" i="1" l="1"/>
  <c r="D12" i="1"/>
</calcChain>
</file>

<file path=xl/sharedStrings.xml><?xml version="1.0" encoding="utf-8"?>
<sst xmlns="http://schemas.openxmlformats.org/spreadsheetml/2006/main" count="233" uniqueCount="44">
  <si>
    <t>SHP Steam DTA to DTA PCG</t>
  </si>
  <si>
    <t>DTA</t>
  </si>
  <si>
    <t>HRSG</t>
  </si>
  <si>
    <t>(12*110)</t>
  </si>
  <si>
    <t>AB</t>
  </si>
  <si>
    <t>(6*110)</t>
  </si>
  <si>
    <t>Equipment</t>
  </si>
  <si>
    <t>Capacity</t>
  </si>
  <si>
    <t>Generation</t>
  </si>
  <si>
    <t>PRDS</t>
  </si>
  <si>
    <t>Extraction STG</t>
  </si>
  <si>
    <t>HRSG (Fr9)</t>
  </si>
  <si>
    <t>(1*275)</t>
  </si>
  <si>
    <t>Consumption</t>
  </si>
  <si>
    <t>TPH</t>
  </si>
  <si>
    <t>Demand from</t>
  </si>
  <si>
    <t>DTA PCG</t>
  </si>
  <si>
    <t>PRDS - HHP to HP</t>
  </si>
  <si>
    <t>Scenario-1 : DTA PCG in deficit of SHP Steam</t>
  </si>
  <si>
    <t>DTA PCG &amp; SEZ PCG</t>
  </si>
  <si>
    <t>Superheaters</t>
  </si>
  <si>
    <t>(2*184)</t>
  </si>
  <si>
    <t>SEZ PCG</t>
  </si>
  <si>
    <t>SNG Unit</t>
  </si>
  <si>
    <t>Air Separation Unit</t>
  </si>
  <si>
    <t>DTA CPP</t>
  </si>
  <si>
    <t>Process Units</t>
  </si>
  <si>
    <t>Scenario-1 : DTA PCG in deficit of SHP Steam then DTA CPP will supply steam to DTA PCG</t>
  </si>
  <si>
    <t>Scenario-3 : With Operation of both DTA PCG GTs/HRSGs, DTA PCG will start export steam to DTA CPP. Hence, In DTA CPP operation optimised by minimum AB (4 out of 6) at turndown loading and reducing fired steam from HRSGs sequentially.</t>
  </si>
  <si>
    <t>DTA PCG CPP</t>
  </si>
  <si>
    <t>SHP Steam DTA-DTA PCG-SEZ PCG</t>
  </si>
  <si>
    <t>Scenario-2 : With Operation of 1 DTA PCG GT/HRSG, DTA PCG will be self sufficient / minimum import from DTA CPP. Also need to consider minimum transfer flow requirement between DTA CPP &amp; DTA PCG.</t>
  </si>
  <si>
    <t>DTA -&gt;</t>
  </si>
  <si>
    <t>DTA PCG -&gt;</t>
  </si>
  <si>
    <t>Deficit of DTA PCG or SEZ PCG will met by DTA CPP &amp; Surplus steam of DTA PCG will be supplied to DTA.</t>
  </si>
  <si>
    <t>36BK</t>
  </si>
  <si>
    <t>36BK -&gt;</t>
  </si>
  <si>
    <t>36KO</t>
  </si>
  <si>
    <t>36KQ</t>
  </si>
  <si>
    <t>36KO -&gt;</t>
  </si>
  <si>
    <t>Transfer Combinations &amp; Scenarios are as follows:</t>
  </si>
  <si>
    <t>Op. Capacity</t>
  </si>
  <si>
    <t>Minimum flow requirement is from DTA to DTA PCG &amp; DTA PCG to SEZ PCG or vice-versa is 50 TPH.</t>
  </si>
  <si>
    <t>(2*165)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</si>
</sst>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Arial"/>
      <family val="2"/>
    </font>
    <font>
      <sz val="11"/>
      <color theme="1"/>
      <name val="Arial"/>
      <family val="2"/>
    </font>
    <font>
      <b/>
      <u/>
      <sz val="11"/>
      <color theme="1"/>
      <name val="Arial"/>
      <family val="2"/>
    </font>
  </fonts>
  <fills count="2">
    <fill>
      <patternFill patternType="none"/>
    </fill>
    <fill>
      <patternFill patternType="gray125"/>
    </fill>
  </fills>
  <borders count="12">
    <border>
      <left/>
      <right/>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70">
    <xf numFmtId="0" fontId="0" fillId="0" borderId="0" xfId="0"/>
    <xf numFmtId="0" fontId="1" fillId="0" borderId="0" xfId="0" applyFont="1" applyAlignment="1">
      <alignment vertical="center"/>
    </xf>
    <xf numFmtId="0" fontId="2" fillId="0" borderId="0" xfId="0" applyFont="1" applyAlignment="1">
      <alignment vertical="center"/>
    </xf>
    <xf numFmtId="0" fontId="2" fillId="0" borderId="2" xfId="0" applyFont="1" applyBorder="1" applyAlignment="1">
      <alignment horizontal="center" vertical="center"/>
    </xf>
    <xf numFmtId="0" fontId="2" fillId="0" borderId="10" xfId="0" applyFont="1" applyBorder="1" applyAlignment="1">
      <alignment horizontal="center" vertical="center"/>
    </xf>
    <xf numFmtId="0" fontId="2" fillId="0" borderId="3"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vertical="center"/>
    </xf>
    <xf numFmtId="0" fontId="2" fillId="0" borderId="10" xfId="0" applyFont="1" applyBorder="1" applyAlignment="1">
      <alignment horizontal="right" vertical="center"/>
    </xf>
    <xf numFmtId="0" fontId="2" fillId="0" borderId="3" xfId="0" applyFont="1" applyBorder="1" applyAlignment="1">
      <alignment horizontal="right" vertical="center"/>
    </xf>
    <xf numFmtId="0" fontId="2" fillId="0" borderId="4" xfId="0" applyFont="1" applyBorder="1" applyAlignment="1">
      <alignment vertical="center"/>
    </xf>
    <xf numFmtId="0" fontId="2" fillId="0" borderId="5" xfId="0" applyFont="1" applyBorder="1" applyAlignment="1">
      <alignment vertical="center"/>
    </xf>
    <xf numFmtId="0" fontId="2" fillId="0" borderId="0" xfId="0" applyFont="1" applyBorder="1" applyAlignment="1">
      <alignment horizontal="right" vertical="center"/>
    </xf>
    <xf numFmtId="0" fontId="2" fillId="0" borderId="5" xfId="0" applyFont="1" applyBorder="1" applyAlignment="1">
      <alignment horizontal="right" vertical="center"/>
    </xf>
    <xf numFmtId="0" fontId="2" fillId="0" borderId="6" xfId="0" applyFont="1" applyBorder="1" applyAlignment="1">
      <alignment vertical="center"/>
    </xf>
    <xf numFmtId="0" fontId="2" fillId="0" borderId="1" xfId="0" applyFont="1" applyBorder="1" applyAlignment="1">
      <alignment horizontal="right" vertical="center"/>
    </xf>
    <xf numFmtId="0" fontId="2" fillId="0" borderId="7" xfId="0" applyFont="1" applyBorder="1" applyAlignment="1">
      <alignment horizontal="right" vertical="center"/>
    </xf>
    <xf numFmtId="0" fontId="1" fillId="0" borderId="7" xfId="0" applyFont="1" applyBorder="1" applyAlignment="1">
      <alignment vertical="center"/>
    </xf>
    <xf numFmtId="0" fontId="1" fillId="0" borderId="8" xfId="0" applyFont="1" applyBorder="1" applyAlignment="1">
      <alignment horizontal="center" vertical="center"/>
    </xf>
    <xf numFmtId="0" fontId="1" fillId="0" borderId="9" xfId="0" applyFont="1" applyBorder="1" applyAlignment="1">
      <alignment vertical="center"/>
    </xf>
    <xf numFmtId="0" fontId="2" fillId="0" borderId="11" xfId="0" applyFont="1" applyBorder="1" applyAlignment="1">
      <alignment horizontal="center" vertical="center"/>
    </xf>
    <xf numFmtId="4" fontId="2" fillId="0" borderId="0" xfId="0" applyNumberFormat="1" applyFont="1" applyAlignment="1">
      <alignment vertical="center"/>
    </xf>
    <xf numFmtId="0" fontId="3" fillId="0" borderId="0" xfId="0" applyFont="1" applyAlignment="1">
      <alignment vertical="center"/>
    </xf>
    <xf numFmtId="0" fontId="2" fillId="0" borderId="5" xfId="0" applyFont="1" applyFill="1" applyBorder="1" applyAlignment="1">
      <alignment vertical="center"/>
    </xf>
    <xf numFmtId="0" fontId="2" fillId="0" borderId="2" xfId="0" applyFont="1" applyFill="1" applyBorder="1" applyAlignment="1">
      <alignment vertical="center"/>
    </xf>
    <xf numFmtId="0" fontId="2" fillId="0" borderId="10" xfId="0" applyFont="1" applyFill="1" applyBorder="1" applyAlignment="1">
      <alignment horizontal="right" vertical="center"/>
    </xf>
    <xf numFmtId="0" fontId="2" fillId="0" borderId="3" xfId="0" applyFont="1" applyFill="1" applyBorder="1" applyAlignment="1">
      <alignment horizontal="right" vertical="center"/>
    </xf>
    <xf numFmtId="0" fontId="2" fillId="0" borderId="0" xfId="0" applyFont="1" applyFill="1" applyAlignment="1">
      <alignment vertical="center"/>
    </xf>
    <xf numFmtId="0" fontId="2" fillId="0" borderId="4" xfId="0" applyFont="1" applyFill="1" applyBorder="1" applyAlignment="1">
      <alignment vertical="center"/>
    </xf>
    <xf numFmtId="0" fontId="2" fillId="0" borderId="0" xfId="0" applyFont="1" applyFill="1" applyBorder="1" applyAlignment="1">
      <alignment horizontal="right" vertical="center"/>
    </xf>
    <xf numFmtId="0" fontId="2" fillId="0" borderId="5" xfId="0" applyFont="1" applyFill="1" applyBorder="1" applyAlignment="1">
      <alignment horizontal="right" vertical="center"/>
    </xf>
    <xf numFmtId="0" fontId="2" fillId="0" borderId="6" xfId="0" applyFont="1" applyFill="1" applyBorder="1" applyAlignment="1">
      <alignment vertical="center"/>
    </xf>
    <xf numFmtId="0" fontId="2" fillId="0" borderId="1" xfId="0" applyFont="1" applyFill="1" applyBorder="1" applyAlignment="1">
      <alignment horizontal="right" vertical="center"/>
    </xf>
    <xf numFmtId="0" fontId="2" fillId="0" borderId="7" xfId="0" applyFont="1" applyFill="1" applyBorder="1" applyAlignment="1">
      <alignment horizontal="right" vertical="center"/>
    </xf>
    <xf numFmtId="0" fontId="1" fillId="0" borderId="7" xfId="0" applyFont="1" applyFill="1" applyBorder="1" applyAlignment="1">
      <alignment vertical="center"/>
    </xf>
    <xf numFmtId="0" fontId="1" fillId="0" borderId="8" xfId="0" applyFont="1" applyFill="1" applyBorder="1" applyAlignment="1">
      <alignment horizontal="center" vertical="center"/>
    </xf>
    <xf numFmtId="0" fontId="1" fillId="0" borderId="9" xfId="0" applyFont="1" applyFill="1" applyBorder="1" applyAlignment="1">
      <alignment vertical="center"/>
    </xf>
    <xf numFmtId="0" fontId="2" fillId="0" borderId="2" xfId="0" applyFont="1" applyFill="1" applyBorder="1" applyAlignment="1">
      <alignment horizontal="center" vertical="center"/>
    </xf>
    <xf numFmtId="0" fontId="2" fillId="0" borderId="10" xfId="0" applyFont="1" applyFill="1" applyBorder="1" applyAlignment="1">
      <alignment horizontal="center" vertical="center"/>
    </xf>
    <xf numFmtId="0" fontId="2" fillId="0" borderId="3" xfId="0" applyFont="1" applyFill="1" applyBorder="1" applyAlignment="1">
      <alignment horizontal="center" vertical="center"/>
    </xf>
    <xf numFmtId="0" fontId="2" fillId="0" borderId="8" xfId="0" applyFont="1" applyFill="1" applyBorder="1" applyAlignment="1">
      <alignment horizontal="center" vertical="center"/>
    </xf>
    <xf numFmtId="0" fontId="2" fillId="0" borderId="9" xfId="0" applyFont="1" applyFill="1" applyBorder="1" applyAlignment="1">
      <alignment horizontal="center" vertical="center"/>
    </xf>
    <xf numFmtId="0" fontId="1" fillId="0" borderId="6" xfId="0" applyFont="1" applyBorder="1" applyAlignment="1">
      <alignment horizontal="center" vertical="center"/>
    </xf>
    <xf numFmtId="0" fontId="1" fillId="0" borderId="1" xfId="0" applyFont="1" applyBorder="1" applyAlignment="1">
      <alignment horizontal="center" vertical="center"/>
    </xf>
    <xf numFmtId="0" fontId="1" fillId="0" borderId="0" xfId="0" applyFont="1" applyAlignment="1">
      <alignment horizontal="left" vertical="justify" wrapText="1"/>
    </xf>
    <xf numFmtId="0" fontId="1" fillId="0" borderId="0" xfId="0" applyFont="1" applyAlignment="1">
      <alignment horizontal="left" vertical="center" wrapText="1"/>
    </xf>
    <xf numFmtId="0" fontId="3" fillId="0" borderId="2" xfId="0" applyFont="1" applyFill="1" applyBorder="1" applyAlignment="1">
      <alignment horizontal="center" vertical="center"/>
    </xf>
    <xf numFmtId="0" fontId="3" fillId="0" borderId="10" xfId="0" applyFont="1" applyFill="1" applyBorder="1" applyAlignment="1">
      <alignment horizontal="center" vertical="center"/>
    </xf>
    <xf numFmtId="0" fontId="3" fillId="0" borderId="3" xfId="0" applyFont="1" applyFill="1" applyBorder="1" applyAlignment="1">
      <alignment horizontal="center" vertical="center"/>
    </xf>
    <xf numFmtId="0" fontId="3" fillId="0" borderId="8" xfId="0" applyFont="1" applyFill="1" applyBorder="1" applyAlignment="1">
      <alignment horizontal="center" vertical="center"/>
    </xf>
    <xf numFmtId="0" fontId="3" fillId="0" borderId="9" xfId="0" applyFont="1" applyFill="1" applyBorder="1" applyAlignment="1">
      <alignment horizontal="center" vertical="center"/>
    </xf>
    <xf numFmtId="0" fontId="1" fillId="0" borderId="8" xfId="0" applyFont="1" applyBorder="1" applyAlignment="1">
      <alignment horizontal="center" vertical="center"/>
    </xf>
    <xf numFmtId="0" fontId="1" fillId="0" borderId="11" xfId="0" applyFont="1" applyBorder="1" applyAlignment="1">
      <alignment horizontal="center" vertical="center"/>
    </xf>
    <xf numFmtId="0" fontId="3" fillId="0" borderId="2" xfId="0" applyFont="1" applyBorder="1" applyAlignment="1">
      <alignment horizontal="center" vertical="center"/>
    </xf>
    <xf numFmtId="0" fontId="3" fillId="0" borderId="10" xfId="0" applyFont="1" applyBorder="1" applyAlignment="1">
      <alignment horizontal="center" vertical="center"/>
    </xf>
    <xf numFmtId="0" fontId="3" fillId="0" borderId="3"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1" fillId="0" borderId="6" xfId="0" applyFont="1" applyFill="1" applyBorder="1" applyAlignment="1">
      <alignment horizontal="center" vertical="center"/>
    </xf>
    <xf numFmtId="0" fontId="1" fillId="0" borderId="1" xfId="0" applyFont="1" applyFill="1" applyBorder="1" applyAlignment="1">
      <alignment horizontal="center" vertical="center"/>
    </xf>
    <xf numFmtId="0" fontId="3" fillId="0" borderId="1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1" fillId="0" borderId="10"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Border="1" applyAlignment="1">
      <alignment horizontal="center" vertical="center"/>
    </xf>
    <xf numFmtId="0" fontId="3" fillId="0" borderId="5"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F1CAA-C010-4453-BD9C-85A3C17734A3}">
  <dimension ref="A2:I84"/>
  <sheetViews>
    <sheetView tabSelected="1" zoomScaleNormal="100" workbookViewId="0">
      <selection activeCell="C75" sqref="C75"/>
    </sheetView>
  </sheetViews>
  <sheetFormatPr defaultRowHeight="14" x14ac:dyDescent="0.35"/>
  <cols>
    <col min="1" max="1" width="12.1796875" style="2" bestFit="1" customWidth="1"/>
    <col min="2" max="2" width="14.54296875" style="2" customWidth="1"/>
    <col min="3" max="3" width="12.1796875" style="2" customWidth="1"/>
    <col min="4" max="4" width="7.90625" style="2" customWidth="1"/>
    <col min="5" max="5" width="10.6328125" style="2" customWidth="1"/>
    <col min="6" max="6" width="21.36328125" style="2" bestFit="1" customWidth="1"/>
    <col min="7" max="8" width="10.6328125" style="2" customWidth="1"/>
    <col min="9" max="9" width="11.1796875" style="2" bestFit="1" customWidth="1"/>
    <col min="10" max="16" width="10.6328125" style="2" customWidth="1"/>
    <col min="17" max="16384" width="8.7265625" style="2"/>
  </cols>
  <sheetData>
    <row r="2" spans="1:7" x14ac:dyDescent="0.35">
      <c r="A2" s="23" t="s">
        <v>30</v>
      </c>
      <c r="B2" s="1"/>
      <c r="C2" s="1"/>
    </row>
    <row r="4" spans="1:7" x14ac:dyDescent="0.35">
      <c r="A4" s="2" t="s">
        <v>42</v>
      </c>
    </row>
    <row r="5" spans="1:7" x14ac:dyDescent="0.35">
      <c r="A5" s="2" t="s">
        <v>34</v>
      </c>
    </row>
    <row r="6" spans="1:7" x14ac:dyDescent="0.35">
      <c r="A6" s="2" t="s">
        <v>40</v>
      </c>
    </row>
    <row r="7" spans="1:7" x14ac:dyDescent="0.35">
      <c r="A7" s="2" t="s">
        <v>32</v>
      </c>
      <c r="B7" s="2" t="s">
        <v>16</v>
      </c>
      <c r="D7" s="2" t="s">
        <v>36</v>
      </c>
      <c r="E7" s="2" t="s">
        <v>37</v>
      </c>
    </row>
    <row r="8" spans="1:7" x14ac:dyDescent="0.35">
      <c r="A8" s="2" t="s">
        <v>32</v>
      </c>
      <c r="B8" s="2" t="s">
        <v>22</v>
      </c>
      <c r="D8" s="2" t="s">
        <v>36</v>
      </c>
      <c r="E8" s="2" t="s">
        <v>38</v>
      </c>
    </row>
    <row r="9" spans="1:7" x14ac:dyDescent="0.35">
      <c r="A9" s="2" t="s">
        <v>33</v>
      </c>
      <c r="B9" s="2" t="s">
        <v>1</v>
      </c>
      <c r="D9" s="2" t="s">
        <v>39</v>
      </c>
      <c r="E9" s="2" t="s">
        <v>35</v>
      </c>
    </row>
    <row r="11" spans="1:7" x14ac:dyDescent="0.35">
      <c r="A11" s="46" t="s">
        <v>27</v>
      </c>
      <c r="B11" s="46"/>
      <c r="C11" s="46"/>
      <c r="D11" s="46"/>
      <c r="E11" s="46"/>
      <c r="F11" s="46"/>
      <c r="G11" s="46"/>
    </row>
    <row r="13" spans="1:7" x14ac:dyDescent="0.35">
      <c r="B13" s="54" t="s">
        <v>1</v>
      </c>
      <c r="C13" s="55"/>
      <c r="D13" s="56"/>
      <c r="F13" s="57" t="s">
        <v>1</v>
      </c>
      <c r="G13" s="58"/>
    </row>
    <row r="14" spans="1:7" x14ac:dyDescent="0.35">
      <c r="B14" s="3" t="s">
        <v>6</v>
      </c>
      <c r="C14" s="4" t="s">
        <v>41</v>
      </c>
      <c r="D14" s="5" t="s">
        <v>14</v>
      </c>
      <c r="F14" s="6" t="s">
        <v>15</v>
      </c>
      <c r="G14" s="7" t="s">
        <v>14</v>
      </c>
    </row>
    <row r="15" spans="1:7" x14ac:dyDescent="0.35">
      <c r="B15" s="8" t="s">
        <v>2</v>
      </c>
      <c r="C15" s="9" t="s">
        <v>3</v>
      </c>
      <c r="D15" s="10">
        <v>931</v>
      </c>
      <c r="F15" s="11" t="s">
        <v>17</v>
      </c>
      <c r="G15" s="12">
        <v>5</v>
      </c>
    </row>
    <row r="16" spans="1:7" x14ac:dyDescent="0.35">
      <c r="B16" s="11" t="s">
        <v>11</v>
      </c>
      <c r="C16" s="13" t="s">
        <v>12</v>
      </c>
      <c r="D16" s="14">
        <v>260</v>
      </c>
      <c r="F16" s="11" t="s">
        <v>10</v>
      </c>
      <c r="G16" s="12">
        <v>1271</v>
      </c>
    </row>
    <row r="17" spans="2:9" x14ac:dyDescent="0.35">
      <c r="B17" s="11" t="s">
        <v>4</v>
      </c>
      <c r="C17" s="13" t="s">
        <v>5</v>
      </c>
      <c r="D17" s="14">
        <v>417</v>
      </c>
      <c r="F17" s="11" t="s">
        <v>16</v>
      </c>
      <c r="G17" s="12">
        <f>171+61</f>
        <v>232</v>
      </c>
    </row>
    <row r="18" spans="2:9" x14ac:dyDescent="0.35">
      <c r="B18" s="15"/>
      <c r="C18" s="16"/>
      <c r="D18" s="17"/>
      <c r="F18" s="11" t="s">
        <v>22</v>
      </c>
      <c r="G18" s="12">
        <v>100</v>
      </c>
    </row>
    <row r="19" spans="2:9" x14ac:dyDescent="0.35">
      <c r="B19" s="43" t="s">
        <v>8</v>
      </c>
      <c r="C19" s="44"/>
      <c r="D19" s="18">
        <f>SUM(D15:D18)</f>
        <v>1608</v>
      </c>
      <c r="F19" s="19" t="s">
        <v>13</v>
      </c>
      <c r="G19" s="20">
        <f>SUM(G15:G18)</f>
        <v>1608</v>
      </c>
    </row>
    <row r="21" spans="2:9" x14ac:dyDescent="0.35">
      <c r="B21" s="54" t="s">
        <v>16</v>
      </c>
      <c r="C21" s="55"/>
      <c r="D21" s="56"/>
      <c r="F21" s="57" t="s">
        <v>16</v>
      </c>
      <c r="G21" s="58"/>
    </row>
    <row r="22" spans="2:9" x14ac:dyDescent="0.35">
      <c r="B22" s="3" t="s">
        <v>6</v>
      </c>
      <c r="C22" s="4" t="s">
        <v>41</v>
      </c>
      <c r="D22" s="5" t="s">
        <v>14</v>
      </c>
      <c r="F22" s="6" t="s">
        <v>15</v>
      </c>
      <c r="G22" s="7" t="s">
        <v>14</v>
      </c>
    </row>
    <row r="23" spans="2:9" x14ac:dyDescent="0.35">
      <c r="B23" s="8" t="s">
        <v>20</v>
      </c>
      <c r="C23" s="9"/>
      <c r="D23" s="10">
        <v>540</v>
      </c>
      <c r="F23" s="11" t="s">
        <v>24</v>
      </c>
      <c r="G23" s="12">
        <v>700</v>
      </c>
      <c r="I23" s="22"/>
    </row>
    <row r="24" spans="2:9" x14ac:dyDescent="0.35">
      <c r="B24" s="11" t="s">
        <v>11</v>
      </c>
      <c r="C24" s="13" t="s">
        <v>43</v>
      </c>
      <c r="D24" s="14">
        <v>0</v>
      </c>
      <c r="F24" s="11" t="s">
        <v>9</v>
      </c>
      <c r="G24" s="12">
        <v>29</v>
      </c>
      <c r="I24" s="22"/>
    </row>
    <row r="25" spans="2:9" x14ac:dyDescent="0.35">
      <c r="B25" s="11" t="s">
        <v>25</v>
      </c>
      <c r="C25" s="13"/>
      <c r="D25" s="14">
        <f>G17</f>
        <v>232</v>
      </c>
      <c r="F25" s="11" t="s">
        <v>26</v>
      </c>
      <c r="G25" s="12">
        <v>43</v>
      </c>
      <c r="I25" s="22"/>
    </row>
    <row r="26" spans="2:9" x14ac:dyDescent="0.35">
      <c r="B26" s="52" t="s">
        <v>8</v>
      </c>
      <c r="C26" s="53"/>
      <c r="D26" s="20">
        <f>SUM(D23:D25)</f>
        <v>772</v>
      </c>
      <c r="F26" s="19" t="s">
        <v>13</v>
      </c>
      <c r="G26" s="20">
        <f>SUM(G23:G25)</f>
        <v>772</v>
      </c>
    </row>
    <row r="28" spans="2:9" x14ac:dyDescent="0.35">
      <c r="B28" s="54" t="s">
        <v>22</v>
      </c>
      <c r="C28" s="55"/>
      <c r="D28" s="56"/>
      <c r="F28" s="57" t="s">
        <v>22</v>
      </c>
      <c r="G28" s="58"/>
    </row>
    <row r="29" spans="2:9" x14ac:dyDescent="0.35">
      <c r="B29" s="6" t="s">
        <v>6</v>
      </c>
      <c r="C29" s="21" t="s">
        <v>41</v>
      </c>
      <c r="D29" s="7" t="s">
        <v>14</v>
      </c>
      <c r="F29" s="6" t="s">
        <v>15</v>
      </c>
      <c r="G29" s="7" t="s">
        <v>14</v>
      </c>
    </row>
    <row r="30" spans="2:9" x14ac:dyDescent="0.35">
      <c r="B30" s="8" t="s">
        <v>20</v>
      </c>
      <c r="C30" s="9"/>
      <c r="D30" s="10">
        <v>657</v>
      </c>
      <c r="F30" s="11" t="s">
        <v>24</v>
      </c>
      <c r="G30" s="12">
        <v>700</v>
      </c>
    </row>
    <row r="31" spans="2:9" x14ac:dyDescent="0.35">
      <c r="B31" s="11" t="s">
        <v>23</v>
      </c>
      <c r="C31" s="13"/>
      <c r="D31" s="14">
        <v>60</v>
      </c>
      <c r="F31" s="11" t="s">
        <v>9</v>
      </c>
      <c r="G31" s="12">
        <v>74</v>
      </c>
    </row>
    <row r="32" spans="2:9" x14ac:dyDescent="0.35">
      <c r="B32" s="11" t="s">
        <v>25</v>
      </c>
      <c r="C32" s="13"/>
      <c r="D32" s="14">
        <v>100</v>
      </c>
      <c r="F32" s="11" t="s">
        <v>26</v>
      </c>
      <c r="G32" s="12">
        <v>43</v>
      </c>
    </row>
    <row r="33" spans="1:8" x14ac:dyDescent="0.35">
      <c r="B33" s="52" t="s">
        <v>8</v>
      </c>
      <c r="C33" s="53"/>
      <c r="D33" s="20">
        <f>SUM(D30:D32)</f>
        <v>817</v>
      </c>
      <c r="F33" s="19" t="s">
        <v>13</v>
      </c>
      <c r="G33" s="20">
        <f>SUM(G30:G32)</f>
        <v>817</v>
      </c>
    </row>
    <row r="35" spans="1:8" ht="28" customHeight="1" x14ac:dyDescent="0.35">
      <c r="A35" s="45" t="s">
        <v>31</v>
      </c>
      <c r="B35" s="45"/>
      <c r="C35" s="45"/>
      <c r="D35" s="45"/>
      <c r="E35" s="45"/>
      <c r="F35" s="45"/>
      <c r="G35" s="45"/>
      <c r="H35" s="45"/>
    </row>
    <row r="37" spans="1:8" x14ac:dyDescent="0.35">
      <c r="B37" s="54" t="s">
        <v>1</v>
      </c>
      <c r="C37" s="55"/>
      <c r="D37" s="56"/>
      <c r="F37" s="57" t="s">
        <v>1</v>
      </c>
      <c r="G37" s="58"/>
    </row>
    <row r="38" spans="1:8" x14ac:dyDescent="0.35">
      <c r="B38" s="3" t="s">
        <v>6</v>
      </c>
      <c r="C38" s="4" t="s">
        <v>41</v>
      </c>
      <c r="D38" s="5" t="s">
        <v>14</v>
      </c>
      <c r="F38" s="6" t="s">
        <v>15</v>
      </c>
      <c r="G38" s="7" t="s">
        <v>14</v>
      </c>
    </row>
    <row r="39" spans="1:8" x14ac:dyDescent="0.35">
      <c r="B39" s="25" t="s">
        <v>2</v>
      </c>
      <c r="C39" s="26" t="s">
        <v>3</v>
      </c>
      <c r="D39" s="27">
        <f>826+50</f>
        <v>876</v>
      </c>
      <c r="E39" s="28"/>
      <c r="F39" s="29" t="s">
        <v>17</v>
      </c>
      <c r="G39" s="24">
        <v>5</v>
      </c>
    </row>
    <row r="40" spans="1:8" x14ac:dyDescent="0.35">
      <c r="B40" s="29" t="s">
        <v>11</v>
      </c>
      <c r="C40" s="30" t="s">
        <v>12</v>
      </c>
      <c r="D40" s="31">
        <v>260</v>
      </c>
      <c r="E40" s="28"/>
      <c r="F40" s="29" t="s">
        <v>10</v>
      </c>
      <c r="G40" s="24">
        <v>1271</v>
      </c>
    </row>
    <row r="41" spans="1:8" x14ac:dyDescent="0.35">
      <c r="B41" s="29" t="s">
        <v>4</v>
      </c>
      <c r="C41" s="30" t="s">
        <v>5</v>
      </c>
      <c r="D41" s="31">
        <v>270</v>
      </c>
      <c r="E41" s="28"/>
      <c r="F41" s="29" t="s">
        <v>16</v>
      </c>
      <c r="G41" s="24">
        <v>70</v>
      </c>
    </row>
    <row r="42" spans="1:8" x14ac:dyDescent="0.35">
      <c r="B42" s="32" t="s">
        <v>16</v>
      </c>
      <c r="C42" s="33"/>
      <c r="D42" s="34">
        <v>0</v>
      </c>
      <c r="E42" s="28"/>
      <c r="F42" s="29" t="s">
        <v>22</v>
      </c>
      <c r="G42" s="24">
        <v>60</v>
      </c>
    </row>
    <row r="43" spans="1:8" x14ac:dyDescent="0.35">
      <c r="B43" s="59" t="s">
        <v>8</v>
      </c>
      <c r="C43" s="60"/>
      <c r="D43" s="35">
        <f>SUM(D39:D42)</f>
        <v>1406</v>
      </c>
      <c r="E43" s="28"/>
      <c r="F43" s="36" t="s">
        <v>13</v>
      </c>
      <c r="G43" s="37">
        <f>SUM(G39:G42)</f>
        <v>1406</v>
      </c>
    </row>
    <row r="44" spans="1:8" x14ac:dyDescent="0.35">
      <c r="B44" s="28"/>
      <c r="C44" s="28"/>
      <c r="D44" s="28"/>
      <c r="E44" s="28"/>
      <c r="F44" s="28"/>
      <c r="G44" s="28"/>
    </row>
    <row r="45" spans="1:8" x14ac:dyDescent="0.35">
      <c r="B45" s="47" t="s">
        <v>16</v>
      </c>
      <c r="C45" s="48"/>
      <c r="D45" s="49"/>
      <c r="E45" s="28"/>
      <c r="F45" s="50" t="s">
        <v>16</v>
      </c>
      <c r="G45" s="51"/>
    </row>
    <row r="46" spans="1:8" x14ac:dyDescent="0.35">
      <c r="B46" s="38" t="s">
        <v>6</v>
      </c>
      <c r="C46" s="39" t="s">
        <v>41</v>
      </c>
      <c r="D46" s="40" t="s">
        <v>14</v>
      </c>
      <c r="E46" s="28"/>
      <c r="F46" s="41" t="s">
        <v>15</v>
      </c>
      <c r="G46" s="42" t="s">
        <v>14</v>
      </c>
    </row>
    <row r="47" spans="1:8" x14ac:dyDescent="0.35">
      <c r="B47" s="25" t="s">
        <v>20</v>
      </c>
      <c r="C47" s="26"/>
      <c r="D47" s="27">
        <v>540</v>
      </c>
      <c r="E47" s="28"/>
      <c r="F47" s="29" t="s">
        <v>24</v>
      </c>
      <c r="G47" s="24">
        <v>703</v>
      </c>
    </row>
    <row r="48" spans="1:8" x14ac:dyDescent="0.35">
      <c r="B48" s="29" t="s">
        <v>11</v>
      </c>
      <c r="C48" s="30" t="s">
        <v>43</v>
      </c>
      <c r="D48" s="31">
        <v>165</v>
      </c>
      <c r="E48" s="28"/>
      <c r="F48" s="29" t="s">
        <v>9</v>
      </c>
      <c r="G48" s="24">
        <v>29</v>
      </c>
    </row>
    <row r="49" spans="1:8" x14ac:dyDescent="0.35">
      <c r="B49" s="29" t="s">
        <v>25</v>
      </c>
      <c r="C49" s="30"/>
      <c r="D49" s="31">
        <v>70</v>
      </c>
      <c r="E49" s="28"/>
      <c r="F49" s="29" t="s">
        <v>26</v>
      </c>
      <c r="G49" s="24">
        <v>43</v>
      </c>
    </row>
    <row r="50" spans="1:8" x14ac:dyDescent="0.35">
      <c r="B50" s="15"/>
      <c r="C50" s="16"/>
      <c r="D50" s="17"/>
      <c r="F50" s="11" t="s">
        <v>25</v>
      </c>
      <c r="G50" s="12">
        <v>0</v>
      </c>
    </row>
    <row r="51" spans="1:8" x14ac:dyDescent="0.35">
      <c r="B51" s="43" t="s">
        <v>8</v>
      </c>
      <c r="C51" s="44"/>
      <c r="D51" s="18">
        <f>SUM(D47:D50)</f>
        <v>775</v>
      </c>
      <c r="F51" s="19" t="s">
        <v>13</v>
      </c>
      <c r="G51" s="20">
        <f>SUM(G47:G50)</f>
        <v>775</v>
      </c>
    </row>
    <row r="53" spans="1:8" x14ac:dyDescent="0.35">
      <c r="B53" s="54" t="s">
        <v>22</v>
      </c>
      <c r="C53" s="55"/>
      <c r="D53" s="56"/>
      <c r="F53" s="57" t="s">
        <v>22</v>
      </c>
      <c r="G53" s="58"/>
    </row>
    <row r="54" spans="1:8" x14ac:dyDescent="0.35">
      <c r="B54" s="6" t="s">
        <v>6</v>
      </c>
      <c r="C54" s="21" t="s">
        <v>41</v>
      </c>
      <c r="D54" s="7" t="s">
        <v>14</v>
      </c>
      <c r="F54" s="6" t="s">
        <v>15</v>
      </c>
      <c r="G54" s="7" t="s">
        <v>14</v>
      </c>
    </row>
    <row r="55" spans="1:8" x14ac:dyDescent="0.35">
      <c r="B55" s="8" t="s">
        <v>20</v>
      </c>
      <c r="C55" s="9"/>
      <c r="D55" s="10">
        <v>657</v>
      </c>
      <c r="F55" s="11" t="s">
        <v>24</v>
      </c>
      <c r="G55" s="12">
        <v>700</v>
      </c>
    </row>
    <row r="56" spans="1:8" x14ac:dyDescent="0.35">
      <c r="B56" s="11" t="s">
        <v>23</v>
      </c>
      <c r="C56" s="13"/>
      <c r="D56" s="14">
        <v>100</v>
      </c>
      <c r="F56" s="11" t="s">
        <v>9</v>
      </c>
      <c r="G56" s="12">
        <v>74</v>
      </c>
    </row>
    <row r="57" spans="1:8" x14ac:dyDescent="0.35">
      <c r="B57" s="11" t="s">
        <v>25</v>
      </c>
      <c r="C57" s="13"/>
      <c r="D57" s="14">
        <v>60</v>
      </c>
      <c r="F57" s="11" t="s">
        <v>26</v>
      </c>
      <c r="G57" s="12">
        <v>43</v>
      </c>
    </row>
    <row r="58" spans="1:8" x14ac:dyDescent="0.35">
      <c r="B58" s="52" t="s">
        <v>8</v>
      </c>
      <c r="C58" s="53"/>
      <c r="D58" s="20">
        <f>SUM(D55:D57)</f>
        <v>817</v>
      </c>
      <c r="F58" s="19" t="s">
        <v>13</v>
      </c>
      <c r="G58" s="20">
        <f>SUM(G55:G57)</f>
        <v>817</v>
      </c>
    </row>
    <row r="61" spans="1:8" ht="42.5" customHeight="1" x14ac:dyDescent="0.35">
      <c r="A61" s="45" t="s">
        <v>28</v>
      </c>
      <c r="B61" s="45"/>
      <c r="C61" s="45"/>
      <c r="D61" s="45"/>
      <c r="E61" s="45"/>
      <c r="F61" s="45"/>
      <c r="G61" s="45"/>
      <c r="H61" s="45"/>
    </row>
    <row r="63" spans="1:8" x14ac:dyDescent="0.35">
      <c r="B63" s="57" t="s">
        <v>1</v>
      </c>
      <c r="C63" s="61"/>
      <c r="D63" s="58"/>
      <c r="F63" s="57" t="s">
        <v>1</v>
      </c>
      <c r="G63" s="58"/>
    </row>
    <row r="64" spans="1:8" x14ac:dyDescent="0.35">
      <c r="B64" s="3" t="s">
        <v>6</v>
      </c>
      <c r="C64" s="4" t="s">
        <v>41</v>
      </c>
      <c r="D64" s="5" t="s">
        <v>14</v>
      </c>
      <c r="F64" s="6" t="s">
        <v>15</v>
      </c>
      <c r="G64" s="7" t="s">
        <v>14</v>
      </c>
    </row>
    <row r="65" spans="2:7" x14ac:dyDescent="0.35">
      <c r="B65" s="8" t="s">
        <v>2</v>
      </c>
      <c r="C65" s="9" t="s">
        <v>3</v>
      </c>
      <c r="D65" s="10">
        <v>770</v>
      </c>
      <c r="F65" s="11" t="s">
        <v>17</v>
      </c>
      <c r="G65" s="12">
        <v>5</v>
      </c>
    </row>
    <row r="66" spans="2:7" x14ac:dyDescent="0.35">
      <c r="B66" s="11" t="s">
        <v>11</v>
      </c>
      <c r="C66" s="13" t="s">
        <v>12</v>
      </c>
      <c r="D66" s="14">
        <v>260</v>
      </c>
      <c r="F66" s="11" t="s">
        <v>10</v>
      </c>
      <c r="G66" s="12">
        <v>1270</v>
      </c>
    </row>
    <row r="67" spans="2:7" x14ac:dyDescent="0.35">
      <c r="B67" s="11" t="s">
        <v>4</v>
      </c>
      <c r="C67" s="13" t="s">
        <v>5</v>
      </c>
      <c r="D67" s="14">
        <v>205</v>
      </c>
      <c r="F67" s="11" t="s">
        <v>16</v>
      </c>
      <c r="G67" s="12">
        <v>0</v>
      </c>
    </row>
    <row r="68" spans="2:7" x14ac:dyDescent="0.35">
      <c r="B68" s="15" t="s">
        <v>29</v>
      </c>
      <c r="C68" s="16"/>
      <c r="D68" s="17">
        <v>100</v>
      </c>
      <c r="F68" s="11" t="s">
        <v>22</v>
      </c>
      <c r="G68" s="12">
        <v>60</v>
      </c>
    </row>
    <row r="69" spans="2:7" x14ac:dyDescent="0.35">
      <c r="B69" s="43" t="s">
        <v>8</v>
      </c>
      <c r="C69" s="44"/>
      <c r="D69" s="18">
        <f>SUM(D65:D68)</f>
        <v>1335</v>
      </c>
      <c r="F69" s="19" t="s">
        <v>13</v>
      </c>
      <c r="G69" s="20">
        <f>SUM(G65:G68)</f>
        <v>1335</v>
      </c>
    </row>
    <row r="71" spans="2:7" x14ac:dyDescent="0.35">
      <c r="B71" s="57" t="s">
        <v>16</v>
      </c>
      <c r="C71" s="61"/>
      <c r="D71" s="58"/>
      <c r="F71" s="57" t="s">
        <v>16</v>
      </c>
      <c r="G71" s="58"/>
    </row>
    <row r="72" spans="2:7" x14ac:dyDescent="0.35">
      <c r="B72" s="3" t="s">
        <v>6</v>
      </c>
      <c r="C72" s="4" t="s">
        <v>41</v>
      </c>
      <c r="D72" s="5" t="s">
        <v>14</v>
      </c>
      <c r="F72" s="6" t="s">
        <v>15</v>
      </c>
      <c r="G72" s="7" t="s">
        <v>14</v>
      </c>
    </row>
    <row r="73" spans="2:7" x14ac:dyDescent="0.35">
      <c r="B73" s="8" t="s">
        <v>20</v>
      </c>
      <c r="C73" s="9"/>
      <c r="D73" s="10">
        <v>540</v>
      </c>
      <c r="F73" s="11" t="s">
        <v>24</v>
      </c>
      <c r="G73" s="12">
        <v>700</v>
      </c>
    </row>
    <row r="74" spans="2:7" x14ac:dyDescent="0.35">
      <c r="B74" s="11" t="s">
        <v>11</v>
      </c>
      <c r="C74" s="13" t="s">
        <v>43</v>
      </c>
      <c r="D74" s="14">
        <v>332</v>
      </c>
      <c r="F74" s="11" t="s">
        <v>9</v>
      </c>
      <c r="G74" s="12">
        <v>29</v>
      </c>
    </row>
    <row r="75" spans="2:7" x14ac:dyDescent="0.35">
      <c r="B75" s="11" t="s">
        <v>25</v>
      </c>
      <c r="C75" s="13"/>
      <c r="D75" s="14">
        <v>0</v>
      </c>
      <c r="F75" s="11" t="s">
        <v>26</v>
      </c>
      <c r="G75" s="12">
        <v>43</v>
      </c>
    </row>
    <row r="76" spans="2:7" x14ac:dyDescent="0.35">
      <c r="B76" s="11"/>
      <c r="C76" s="13"/>
      <c r="D76" s="14"/>
      <c r="F76" s="11" t="s">
        <v>25</v>
      </c>
      <c r="G76" s="12">
        <v>100</v>
      </c>
    </row>
    <row r="77" spans="2:7" x14ac:dyDescent="0.35">
      <c r="B77" s="52" t="s">
        <v>8</v>
      </c>
      <c r="C77" s="53"/>
      <c r="D77" s="20">
        <f>SUM(D73:D76)</f>
        <v>872</v>
      </c>
      <c r="F77" s="19" t="s">
        <v>13</v>
      </c>
      <c r="G77" s="20">
        <f>SUM(G73:G76)</f>
        <v>872</v>
      </c>
    </row>
    <row r="79" spans="2:7" x14ac:dyDescent="0.35">
      <c r="B79" s="57" t="s">
        <v>22</v>
      </c>
      <c r="C79" s="61"/>
      <c r="D79" s="58"/>
      <c r="F79" s="57" t="s">
        <v>22</v>
      </c>
      <c r="G79" s="58"/>
    </row>
    <row r="80" spans="2:7" x14ac:dyDescent="0.35">
      <c r="B80" s="6" t="s">
        <v>6</v>
      </c>
      <c r="C80" s="21" t="s">
        <v>41</v>
      </c>
      <c r="D80" s="7" t="s">
        <v>14</v>
      </c>
      <c r="F80" s="6" t="s">
        <v>15</v>
      </c>
      <c r="G80" s="7" t="s">
        <v>14</v>
      </c>
    </row>
    <row r="81" spans="2:7" x14ac:dyDescent="0.35">
      <c r="B81" s="8" t="s">
        <v>20</v>
      </c>
      <c r="C81" s="9"/>
      <c r="D81" s="10">
        <v>757</v>
      </c>
      <c r="F81" s="11" t="s">
        <v>24</v>
      </c>
      <c r="G81" s="12">
        <v>700</v>
      </c>
    </row>
    <row r="82" spans="2:7" x14ac:dyDescent="0.35">
      <c r="B82" s="11" t="s">
        <v>23</v>
      </c>
      <c r="C82" s="13"/>
      <c r="D82" s="14">
        <v>0</v>
      </c>
      <c r="F82" s="11" t="s">
        <v>9</v>
      </c>
      <c r="G82" s="12">
        <v>74</v>
      </c>
    </row>
    <row r="83" spans="2:7" x14ac:dyDescent="0.35">
      <c r="B83" s="11" t="s">
        <v>25</v>
      </c>
      <c r="C83" s="13"/>
      <c r="D83" s="14">
        <v>60</v>
      </c>
      <c r="F83" s="11" t="s">
        <v>26</v>
      </c>
      <c r="G83" s="12">
        <v>43</v>
      </c>
    </row>
    <row r="84" spans="2:7" x14ac:dyDescent="0.35">
      <c r="B84" s="52" t="s">
        <v>8</v>
      </c>
      <c r="C84" s="53"/>
      <c r="D84" s="20">
        <f>SUM(D81:D83)</f>
        <v>817</v>
      </c>
      <c r="F84" s="19" t="s">
        <v>13</v>
      </c>
      <c r="G84" s="20">
        <f>SUM(G81:G83)</f>
        <v>817</v>
      </c>
    </row>
  </sheetData>
  <mergeCells count="30">
    <mergeCell ref="B79:D79"/>
    <mergeCell ref="F79:G79"/>
    <mergeCell ref="B84:C84"/>
    <mergeCell ref="B13:D13"/>
    <mergeCell ref="F13:G13"/>
    <mergeCell ref="B77:C77"/>
    <mergeCell ref="B53:D53"/>
    <mergeCell ref="F53:G53"/>
    <mergeCell ref="B58:C58"/>
    <mergeCell ref="B63:D63"/>
    <mergeCell ref="F63:G63"/>
    <mergeCell ref="B69:C69"/>
    <mergeCell ref="B71:D71"/>
    <mergeCell ref="F71:G71"/>
    <mergeCell ref="B19:C19"/>
    <mergeCell ref="A35:H35"/>
    <mergeCell ref="A61:H61"/>
    <mergeCell ref="A11:G11"/>
    <mergeCell ref="B45:D45"/>
    <mergeCell ref="F45:G45"/>
    <mergeCell ref="B51:C51"/>
    <mergeCell ref="B33:C33"/>
    <mergeCell ref="B37:D37"/>
    <mergeCell ref="F37:G37"/>
    <mergeCell ref="B43:C43"/>
    <mergeCell ref="B21:D21"/>
    <mergeCell ref="F21:G21"/>
    <mergeCell ref="B26:C26"/>
    <mergeCell ref="B28:D28"/>
    <mergeCell ref="F28:G28"/>
  </mergeCells>
  <pageMargins left="0.7" right="0.7" top="0.75" bottom="0.75" header="0.3" footer="0.3"/>
  <pageSetup paperSize="9" scale="82" orientation="portrait" r:id="rId1"/>
  <rowBreaks count="1" manualBreakCount="1">
    <brk id="59" max="16383" man="1"/>
  </rowBreaks>
  <customProperties>
    <customPr name="EpmWorksheetKeyString_GU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0"/>
  <sheetViews>
    <sheetView workbookViewId="0">
      <selection activeCell="D17" sqref="D17"/>
    </sheetView>
  </sheetViews>
  <sheetFormatPr defaultRowHeight="14" x14ac:dyDescent="0.35"/>
  <cols>
    <col min="1" max="1" width="8.7265625" style="2"/>
    <col min="2" max="2" width="14.54296875" style="2" customWidth="1"/>
    <col min="3" max="3" width="12.1796875" style="2" customWidth="1"/>
    <col min="4" max="4" width="7.90625" style="2" customWidth="1"/>
    <col min="5" max="5" width="10.6328125" style="2" customWidth="1"/>
    <col min="6" max="6" width="21.36328125" style="2" bestFit="1" customWidth="1"/>
    <col min="7" max="8" width="10.6328125" style="2" customWidth="1"/>
    <col min="9" max="9" width="11.1796875" style="2" bestFit="1" customWidth="1"/>
    <col min="10" max="16" width="10.6328125" style="2" customWidth="1"/>
    <col min="17" max="16384" width="8.7265625" style="2"/>
  </cols>
  <sheetData>
    <row r="2" spans="1:7" x14ac:dyDescent="0.35">
      <c r="A2" s="1" t="s">
        <v>0</v>
      </c>
      <c r="B2" s="1"/>
      <c r="C2" s="1"/>
    </row>
    <row r="4" spans="1:7" x14ac:dyDescent="0.35">
      <c r="A4" s="1" t="s">
        <v>18</v>
      </c>
      <c r="B4" s="1"/>
    </row>
    <row r="6" spans="1:7" x14ac:dyDescent="0.35">
      <c r="B6" s="62" t="s">
        <v>8</v>
      </c>
      <c r="C6" s="66"/>
      <c r="D6" s="63"/>
      <c r="F6" s="62" t="s">
        <v>13</v>
      </c>
      <c r="G6" s="63"/>
    </row>
    <row r="7" spans="1:7" x14ac:dyDescent="0.35">
      <c r="B7" s="67" t="s">
        <v>1</v>
      </c>
      <c r="C7" s="68"/>
      <c r="D7" s="69"/>
      <c r="F7" s="64" t="s">
        <v>1</v>
      </c>
      <c r="G7" s="65"/>
    </row>
    <row r="8" spans="1:7" x14ac:dyDescent="0.35">
      <c r="B8" s="3" t="s">
        <v>6</v>
      </c>
      <c r="C8" s="4" t="s">
        <v>7</v>
      </c>
      <c r="D8" s="5" t="s">
        <v>14</v>
      </c>
      <c r="F8" s="6" t="s">
        <v>15</v>
      </c>
      <c r="G8" s="7" t="s">
        <v>14</v>
      </c>
    </row>
    <row r="9" spans="1:7" x14ac:dyDescent="0.35">
      <c r="B9" s="8" t="s">
        <v>2</v>
      </c>
      <c r="C9" s="9" t="s">
        <v>3</v>
      </c>
      <c r="D9" s="10">
        <v>870</v>
      </c>
      <c r="F9" s="11" t="s">
        <v>17</v>
      </c>
      <c r="G9" s="12">
        <v>5</v>
      </c>
    </row>
    <row r="10" spans="1:7" x14ac:dyDescent="0.35">
      <c r="B10" s="11" t="s">
        <v>11</v>
      </c>
      <c r="C10" s="13" t="s">
        <v>12</v>
      </c>
      <c r="D10" s="14">
        <v>260</v>
      </c>
      <c r="F10" s="11" t="s">
        <v>10</v>
      </c>
      <c r="G10" s="12">
        <v>1271</v>
      </c>
    </row>
    <row r="11" spans="1:7" x14ac:dyDescent="0.35">
      <c r="B11" s="15" t="s">
        <v>4</v>
      </c>
      <c r="C11" s="16" t="s">
        <v>5</v>
      </c>
      <c r="D11" s="17">
        <v>317</v>
      </c>
      <c r="F11" s="11" t="s">
        <v>19</v>
      </c>
      <c r="G11" s="12">
        <v>171</v>
      </c>
    </row>
    <row r="12" spans="1:7" x14ac:dyDescent="0.35">
      <c r="B12" s="52" t="s">
        <v>8</v>
      </c>
      <c r="C12" s="53"/>
      <c r="D12" s="18">
        <f>SUM(D9:D11)</f>
        <v>1447</v>
      </c>
      <c r="F12" s="19" t="s">
        <v>13</v>
      </c>
      <c r="G12" s="20">
        <f>SUM(G9:G11)</f>
        <v>1447</v>
      </c>
    </row>
    <row r="14" spans="1:7" x14ac:dyDescent="0.35">
      <c r="B14" s="62" t="s">
        <v>8</v>
      </c>
      <c r="C14" s="66"/>
      <c r="D14" s="63"/>
      <c r="F14" s="62" t="s">
        <v>13</v>
      </c>
      <c r="G14" s="63"/>
    </row>
    <row r="15" spans="1:7" x14ac:dyDescent="0.35">
      <c r="B15" s="67" t="s">
        <v>16</v>
      </c>
      <c r="C15" s="68"/>
      <c r="D15" s="69"/>
      <c r="F15" s="64" t="s">
        <v>16</v>
      </c>
      <c r="G15" s="65"/>
    </row>
    <row r="16" spans="1:7" x14ac:dyDescent="0.35">
      <c r="B16" s="3" t="s">
        <v>6</v>
      </c>
      <c r="C16" s="4" t="s">
        <v>7</v>
      </c>
      <c r="D16" s="5" t="s">
        <v>14</v>
      </c>
      <c r="F16" s="6" t="s">
        <v>15</v>
      </c>
      <c r="G16" s="7" t="s">
        <v>14</v>
      </c>
    </row>
    <row r="17" spans="2:9" x14ac:dyDescent="0.35">
      <c r="B17" s="8" t="s">
        <v>20</v>
      </c>
      <c r="C17" s="9"/>
      <c r="D17" s="10">
        <v>540</v>
      </c>
      <c r="F17" s="11" t="s">
        <v>24</v>
      </c>
      <c r="G17" s="12">
        <v>700</v>
      </c>
      <c r="I17" s="22"/>
    </row>
    <row r="18" spans="2:9" x14ac:dyDescent="0.35">
      <c r="B18" s="11" t="s">
        <v>11</v>
      </c>
      <c r="C18" s="13" t="s">
        <v>21</v>
      </c>
      <c r="D18" s="14">
        <v>0</v>
      </c>
      <c r="F18" s="11" t="s">
        <v>9</v>
      </c>
      <c r="G18" s="12">
        <v>29</v>
      </c>
      <c r="I18" s="22"/>
    </row>
    <row r="19" spans="2:9" x14ac:dyDescent="0.35">
      <c r="B19" s="11" t="s">
        <v>25</v>
      </c>
      <c r="C19" s="13"/>
      <c r="D19" s="14">
        <f>G11</f>
        <v>171</v>
      </c>
      <c r="F19" s="11" t="s">
        <v>26</v>
      </c>
      <c r="G19" s="12">
        <v>43</v>
      </c>
      <c r="I19" s="22"/>
    </row>
    <row r="20" spans="2:9" x14ac:dyDescent="0.35">
      <c r="B20" s="15" t="s">
        <v>22</v>
      </c>
      <c r="C20" s="16"/>
      <c r="D20" s="17">
        <f>G29</f>
        <v>75</v>
      </c>
      <c r="F20" s="11" t="s">
        <v>22</v>
      </c>
      <c r="G20" s="12">
        <v>14</v>
      </c>
      <c r="I20" s="22"/>
    </row>
    <row r="21" spans="2:9" x14ac:dyDescent="0.35">
      <c r="B21" s="43" t="s">
        <v>8</v>
      </c>
      <c r="C21" s="44"/>
      <c r="D21" s="18">
        <f>SUM(D17:D20)</f>
        <v>786</v>
      </c>
      <c r="F21" s="19" t="s">
        <v>13</v>
      </c>
      <c r="G21" s="20">
        <f>SUM(G17:G20)</f>
        <v>786</v>
      </c>
    </row>
    <row r="23" spans="2:9" x14ac:dyDescent="0.35">
      <c r="B23" s="62" t="s">
        <v>8</v>
      </c>
      <c r="C23" s="66"/>
      <c r="D23" s="63"/>
      <c r="F23" s="62" t="s">
        <v>13</v>
      </c>
      <c r="G23" s="63"/>
    </row>
    <row r="24" spans="2:9" x14ac:dyDescent="0.35">
      <c r="B24" s="67" t="s">
        <v>22</v>
      </c>
      <c r="C24" s="68"/>
      <c r="D24" s="69"/>
      <c r="F24" s="64" t="s">
        <v>22</v>
      </c>
      <c r="G24" s="65"/>
    </row>
    <row r="25" spans="2:9" x14ac:dyDescent="0.35">
      <c r="B25" s="6" t="s">
        <v>6</v>
      </c>
      <c r="C25" s="21" t="s">
        <v>7</v>
      </c>
      <c r="D25" s="7" t="s">
        <v>14</v>
      </c>
      <c r="F25" s="6" t="s">
        <v>15</v>
      </c>
      <c r="G25" s="7" t="s">
        <v>14</v>
      </c>
    </row>
    <row r="26" spans="2:9" x14ac:dyDescent="0.35">
      <c r="B26" s="8" t="s">
        <v>20</v>
      </c>
      <c r="C26" s="9"/>
      <c r="D26" s="10">
        <v>757</v>
      </c>
      <c r="F26" s="11" t="s">
        <v>24</v>
      </c>
      <c r="G26" s="12">
        <v>700</v>
      </c>
    </row>
    <row r="27" spans="2:9" x14ac:dyDescent="0.35">
      <c r="B27" s="11" t="s">
        <v>23</v>
      </c>
      <c r="C27" s="13"/>
      <c r="D27" s="14">
        <v>121</v>
      </c>
      <c r="F27" s="11" t="s">
        <v>9</v>
      </c>
      <c r="G27" s="12">
        <v>74</v>
      </c>
    </row>
    <row r="28" spans="2:9" x14ac:dyDescent="0.35">
      <c r="B28" s="11" t="s">
        <v>16</v>
      </c>
      <c r="C28" s="13"/>
      <c r="D28" s="14">
        <v>14</v>
      </c>
      <c r="F28" s="11" t="s">
        <v>26</v>
      </c>
      <c r="G28" s="12">
        <v>43</v>
      </c>
    </row>
    <row r="29" spans="2:9" x14ac:dyDescent="0.35">
      <c r="B29" s="11"/>
      <c r="C29" s="13"/>
      <c r="D29" s="14"/>
      <c r="F29" s="11" t="s">
        <v>16</v>
      </c>
      <c r="G29" s="12">
        <v>75</v>
      </c>
    </row>
    <row r="30" spans="2:9" x14ac:dyDescent="0.35">
      <c r="B30" s="52" t="s">
        <v>8</v>
      </c>
      <c r="C30" s="53"/>
      <c r="D30" s="20">
        <f>SUM(D26:D28)</f>
        <v>892</v>
      </c>
      <c r="F30" s="19" t="s">
        <v>13</v>
      </c>
      <c r="G30" s="20">
        <f>SUM(G26:G29)</f>
        <v>892</v>
      </c>
    </row>
  </sheetData>
  <mergeCells count="15">
    <mergeCell ref="B23:D23"/>
    <mergeCell ref="B24:D24"/>
    <mergeCell ref="B30:C30"/>
    <mergeCell ref="F23:G23"/>
    <mergeCell ref="F24:G24"/>
    <mergeCell ref="F6:G6"/>
    <mergeCell ref="F7:G7"/>
    <mergeCell ref="B14:D14"/>
    <mergeCell ref="B15:D15"/>
    <mergeCell ref="B21:C21"/>
    <mergeCell ref="F14:G14"/>
    <mergeCell ref="F15:G15"/>
    <mergeCell ref="B7:D7"/>
    <mergeCell ref="B6:D6"/>
    <mergeCell ref="B12:C1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Scenarios</vt:lpstr>
      <vt:lpstr>Sheet1</vt:lpstr>
      <vt:lpstr>Scenarios!Print_Area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Yash4 Mehta</dc:creator>
  <cp:lastModifiedBy>Yash4 Mehta</cp:lastModifiedBy>
  <cp:lastPrinted>2026-05-20T12:13:19Z</cp:lastPrinted>
  <dcterms:created xsi:type="dcterms:W3CDTF">2015-06-05T18:17:20Z</dcterms:created>
  <dcterms:modified xsi:type="dcterms:W3CDTF">2026-05-20T13:04:42Z</dcterms:modified>
</cp:coreProperties>
</file>